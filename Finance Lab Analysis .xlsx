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5"/>
    <sheet state="visible" name="EXAMPLE" sheetId="2" r:id="rId6"/>
    <sheet state="visible" name="NIKE BRIEF" sheetId="3" r:id="rId7"/>
    <sheet state="visible" name="NIKE ANALYSIS" sheetId="4" r:id="rId8"/>
    <sheet state="visible" name="SCENARIO CARDS" sheetId="5" r:id="rId9"/>
  </sheets>
  <definedNames/>
  <calcPr/>
</workbook>
</file>

<file path=xl/sharedStrings.xml><?xml version="1.0" encoding="utf-8"?>
<sst xmlns="http://schemas.openxmlformats.org/spreadsheetml/2006/main" count="140" uniqueCount="114">
  <si>
    <t>FINANCE LABS • ANALYST WORKBOOK</t>
  </si>
  <si>
    <t>NIKE • CASE FILE</t>
  </si>
  <si>
    <t>NIKE • ANALYST DESK</t>
  </si>
  <si>
    <t>Student workbook | Financial statement analysis + business judgment</t>
  </si>
  <si>
    <t>Fictionalized classroom data | Use formulas for calculated metrics</t>
  </si>
  <si>
    <t>Read this BEFORE looking at the financial table</t>
  </si>
  <si>
    <t>TODAY'S MISSION</t>
  </si>
  <si>
    <t>COMPANY STORY</t>
  </si>
  <si>
    <t>You are a junior analyst. Turn financial data into a BUY / HOLD / SELL recommendation.</t>
  </si>
  <si>
    <t>FINANCIAL DATA</t>
  </si>
  <si>
    <t>1</t>
  </si>
  <si>
    <t>Nike is a global athletic footwear and apparel company currently in Year 2 of a deliberate turnaround. Two years ago, new leadership decided Nike had over-relied on retro sneaker reissues and had flooded retail partners with too much inventory, hurting the brand's premium image and forcing markdowns. Since then, management has intentionally cut back shipments to wholesale partners, pulled back on promotional flash sales, closed underperforming outlet stores, and increased spending on product innovation and marketing to rebuild the brand. The company has also borrowed to fund new product launches and store remodels during the downturn. Management describes this as a planned reset rather than a decline, though of course that's the story any company in this position would tell. All figures are fictionalized for learning purposes.</t>
  </si>
  <si>
    <t>BUILD</t>
  </si>
  <si>
    <t>Calculate the metrics in Excel.</t>
  </si>
  <si>
    <t>Year</t>
  </si>
  <si>
    <t>YOUR RESEARCH</t>
  </si>
  <si>
    <t>Revenue ($M)</t>
  </si>
  <si>
    <t>COGS ($M)</t>
  </si>
  <si>
    <t>Net Income ($M)</t>
  </si>
  <si>
    <t>Debt ($M)</t>
  </si>
  <si>
    <t>Revenue Growth</t>
  </si>
  <si>
    <t>Gross Margin</t>
  </si>
  <si>
    <t>Profit Margin</t>
  </si>
  <si>
    <t>1.</t>
  </si>
  <si>
    <t>Debt / Revenue</t>
  </si>
  <si>
    <t>2</t>
  </si>
  <si>
    <t>Find one recent development affecting the company.</t>
  </si>
  <si>
    <t>INVESTIGATE</t>
  </si>
  <si>
    <t>2023</t>
  </si>
  <si>
    <t>Use the company story + current news.</t>
  </si>
  <si>
    <t>2.</t>
  </si>
  <si>
    <t>What metric might this affect first?</t>
  </si>
  <si>
    <t>3.</t>
  </si>
  <si>
    <t>Does the news support or challenge the financial story?</t>
  </si>
  <si>
    <t>4.</t>
  </si>
  <si>
    <t>What evidence would you verify in a filing or earnings release?</t>
  </si>
  <si>
    <t>3</t>
  </si>
  <si>
    <t>TEAM NOTES</t>
  </si>
  <si>
    <t>—</t>
  </si>
  <si>
    <t>DECIDE</t>
  </si>
  <si>
    <t>Support your call with at least 3 numbers and 1 chart.</t>
  </si>
  <si>
    <t>Nike is in the deep end of a brand reset from over-saturation and heavy markdowns.</t>
  </si>
  <si>
    <t>4</t>
  </si>
  <si>
    <t>STRESS-TEST</t>
  </si>
  <si>
    <t>React to a business shock.</t>
  </si>
  <si>
    <t>Ending flash sales explains the loss of revenue growth.</t>
  </si>
  <si>
    <t>ANALYST RULE</t>
  </si>
  <si>
    <t xml:space="preserve">Premium image is protected by closing underperforming stores. </t>
  </si>
  <si>
    <t>There is additional debt being taken on for brand innovation and store remodels.</t>
  </si>
  <si>
    <t>Observation → Explanation → Implication</t>
  </si>
  <si>
    <t>Revenue fell 8% → demand may have weakened → continued weakness could pressure future profitability.</t>
  </si>
  <si>
    <t>METRIC CHEAT SHEET</t>
  </si>
  <si>
    <t>2024</t>
  </si>
  <si>
    <t>Metric</t>
  </si>
  <si>
    <t>Formula</t>
  </si>
  <si>
    <t>Question</t>
  </si>
  <si>
    <t>(Current − Prior) ÷ Prior</t>
  </si>
  <si>
    <t>Are sales expanding or shrinking?</t>
  </si>
  <si>
    <t>(Revenue − COGS) ÷ Revenue</t>
  </si>
  <si>
    <t>What remains after direct costs?</t>
  </si>
  <si>
    <t>Net Income ÷ Revenue</t>
  </si>
  <si>
    <t>How much becomes net income?</t>
  </si>
  <si>
    <t>2025</t>
  </si>
  <si>
    <t>Debt ÷ Revenue</t>
  </si>
  <si>
    <t>How significant is debt relative to sales?</t>
  </si>
  <si>
    <t>TEAM CHECKLIST</t>
  </si>
  <si>
    <t>☐</t>
  </si>
  <si>
    <t>Is growth accelerating, slowing, or reversing?</t>
  </si>
  <si>
    <t>2026</t>
  </si>
  <si>
    <t>Is gross margin improving or declining? Why?</t>
  </si>
  <si>
    <t>Is growth translating into profit?</t>
  </si>
  <si>
    <t>Is debt becoming more significant?</t>
  </si>
  <si>
    <t>What recent company development could explain the trend?</t>
  </si>
  <si>
    <t>What would you verify before investing?</t>
  </si>
  <si>
    <t>ANALYST INTERPRETATION</t>
  </si>
  <si>
    <t>OBSERVATION</t>
  </si>
  <si>
    <t>What changed in revenue? Revenue declined until about 2025, with a rebount in 2026.</t>
  </si>
  <si>
    <t>MARGIN</t>
  </si>
  <si>
    <t xml:space="preserve">What changed in gross/profit margin? Gross margin went down from 2023 to 2025, until it dipped back up in 2026. </t>
  </si>
  <si>
    <t>EXPLANATION</t>
  </si>
  <si>
    <t xml:space="preserve">Give 2 plausible business reasons using the case story/news. Revenue decline was due to intentional pullbacks in wholesale shipments. The 2026 revenue recovery was made to reflect the early payoff of management's investments to improve the brand. </t>
  </si>
  <si>
    <t>IMPLICATION</t>
  </si>
  <si>
    <t>Why does this matter to an investor? The revenue dip was expected, it was a short-term reset, rather than a permanent loss.</t>
  </si>
  <si>
    <t>DECISION</t>
  </si>
  <si>
    <t>BUY / HOLD / SELL — defend it using your chart and at least 3 numbers.  Hold. Revenue grew in 2026, as a result of rebranding efforts.</t>
  </si>
  <si>
    <t>RESEARCH NOTE</t>
  </si>
  <si>
    <t>Recent development:</t>
  </si>
  <si>
    <t>Nike's ongoing multi-year turnaround strategy focusing on DTC (Direct-to-Consumer) sales, R&amp;D innovation, and reducing reliance on legacy wholesale channels.</t>
  </si>
  <si>
    <t>Connection to numbers:</t>
  </si>
  <si>
    <t>The $200M increase in long-term debt (from $2,100M in 2023 to $2,300M in 2026) reflects funded capital expenditures into store remodels and product development to support this shift.</t>
  </si>
  <si>
    <t>BREAKING NEWS • STRESS TEST</t>
  </si>
  <si>
    <t>Scenario</t>
  </si>
  <si>
    <t>New Revenue</t>
  </si>
  <si>
    <t>New COGS</t>
  </si>
  <si>
    <t>New Net Income</t>
  </si>
  <si>
    <t>Select scenario</t>
  </si>
  <si>
    <t>Scenario assumptions:</t>
  </si>
  <si>
    <t>Cost shock: COGS +10%</t>
  </si>
  <si>
    <t>Recession: Revenue -15%</t>
  </si>
  <si>
    <t>Expansion: Revenue +20%; OpEx +15%</t>
  </si>
  <si>
    <t>BREAKING NEWS • SCENARIO CARDS</t>
  </si>
  <si>
    <t>Assign one card to each team</t>
  </si>
  <si>
    <t>COST SHOCK</t>
  </si>
  <si>
    <t>COGS +10%</t>
  </si>
  <si>
    <t>Direct costs rise sharply. Recalculate gross margin and explain what happens to profitability.</t>
  </si>
  <si>
    <t>Questions: Which metric changes first? How much? Does the recommendation change?</t>
  </si>
  <si>
    <t>RECESSION</t>
  </si>
  <si>
    <t>Revenue −15%</t>
  </si>
  <si>
    <t>Demand weakens. Explain what happens to profit if sales fall.</t>
  </si>
  <si>
    <t>EXPANSION</t>
  </si>
  <si>
    <t>Revenue +20% • OpEx +15%</t>
  </si>
  <si>
    <t>Sales jump, but operating costs also rise. Decide whether growth improves profitability.</t>
  </si>
  <si>
    <t>EXAMPLE</t>
  </si>
  <si>
    <t>Insert Graph Below:</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</si>
</sst>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9">
    <font>
      <sz val="11.0"/>
      <color theme="1"/>
      <name val="Calibri"/>
      <scheme val="minor"/>
    </font>
    <font>
      <b/>
      <sz val="22.0"/>
      <color rgb="FFF8FAFC"/>
      <name val="Play"/>
    </font>
    <font/>
    <font>
      <i/>
      <sz val="11.0"/>
      <color rgb="FFAAB8C9"/>
      <name val="Cambria"/>
    </font>
    <font>
      <b/>
      <sz val="13.0"/>
      <color rgb="FFF8FAFC"/>
      <name val="Cambria"/>
    </font>
    <font>
      <b/>
      <sz val="14.0"/>
      <color rgb="FF0D182A"/>
      <name val="Cambria"/>
    </font>
    <font>
      <b/>
      <sz val="14.0"/>
      <color rgb="FF2DB4A6"/>
      <name val="Cambria"/>
    </font>
    <font>
      <sz val="12.0"/>
      <color rgb="FF152238"/>
      <name val="Cambria"/>
    </font>
    <font>
      <b/>
      <sz val="11.0"/>
      <color rgb="FF0D182A"/>
      <name val="Cambria"/>
    </font>
    <font>
      <b/>
      <sz val="11.0"/>
      <color rgb="FFF8FAFC"/>
      <name val="Cambria"/>
    </font>
    <font>
      <sz val="11.0"/>
      <color theme="1"/>
      <name val="Calibri"/>
    </font>
    <font>
      <color theme="1"/>
      <name val="Calibri"/>
      <scheme val="minor"/>
    </font>
    <font>
      <b/>
      <sz val="14.0"/>
      <color rgb="FFF5BE42"/>
      <name val="Cambria"/>
    </font>
    <font>
      <b/>
      <sz val="14.0"/>
      <color rgb="FF4E87E0"/>
      <name val="Cambria"/>
    </font>
    <font>
      <b/>
      <sz val="14.0"/>
      <color rgb="FFE75C5C"/>
      <name val="Cambria"/>
    </font>
    <font>
      <b/>
      <sz val="16.0"/>
      <color rgb="FF0D182A"/>
      <name val="Cambria"/>
    </font>
    <font>
      <b/>
      <sz val="18.0"/>
      <color rgb="FF0D182A"/>
      <name val="Cambria"/>
    </font>
    <font>
      <sz val="13.0"/>
      <color rgb="FF152238"/>
      <name val="Cambria"/>
    </font>
    <font>
      <b/>
      <sz val="11.0"/>
      <color theme="1"/>
      <name val="Calibri"/>
    </font>
  </fonts>
  <fills count="8">
    <fill>
      <patternFill patternType="none"/>
    </fill>
    <fill>
      <patternFill patternType="lightGray"/>
    </fill>
    <fill>
      <patternFill patternType="solid">
        <fgColor rgb="FF0D182A"/>
        <bgColor rgb="FF0D182A"/>
      </patternFill>
    </fill>
    <fill>
      <patternFill patternType="solid">
        <fgColor rgb="FF2DB4A6"/>
        <bgColor rgb="FF2DB4A6"/>
      </patternFill>
    </fill>
    <fill>
      <patternFill patternType="solid">
        <fgColor rgb="FFF5BE42"/>
        <bgColor rgb="FFF5BE42"/>
      </patternFill>
    </fill>
    <fill>
      <patternFill patternType="solid">
        <fgColor rgb="FF4E87E0"/>
        <bgColor rgb="FF4E87E0"/>
      </patternFill>
    </fill>
    <fill>
      <patternFill patternType="solid">
        <fgColor rgb="FFE75C5C"/>
        <bgColor rgb="FFE75C5C"/>
      </patternFill>
    </fill>
    <fill>
      <patternFill patternType="solid">
        <fgColor rgb="FF4AB470"/>
        <bgColor rgb="FF4AB470"/>
      </patternFill>
    </fill>
  </fills>
  <borders count="9">
    <border/>
    <border>
      <left/>
      <top/>
      <bottom/>
    </border>
    <border>
      <top/>
      <bottom/>
    </border>
    <border>
      <right/>
      <top/>
      <bottom/>
    </border>
    <border>
      <left style="thin">
        <color rgb="FF30445F"/>
      </left>
      <right style="thin">
        <color rgb="FF30445F"/>
      </right>
      <top style="thin">
        <color rgb="FF30445F"/>
      </top>
      <bottom style="thin">
        <color rgb="FF30445F"/>
      </bottom>
    </border>
    <border>
      <left/>
      <right/>
      <top/>
      <bottom/>
    </border>
    <border>
      <left style="thin">
        <color rgb="FF30445F"/>
      </left>
      <top style="thin">
        <color rgb="FF30445F"/>
      </top>
      <bottom style="thin">
        <color rgb="FF30445F"/>
      </bottom>
    </border>
    <border>
      <top style="thin">
        <color rgb="FF30445F"/>
      </top>
      <bottom style="thin">
        <color rgb="FF30445F"/>
      </bottom>
    </border>
    <border>
      <right style="thin">
        <color rgb="FF30445F"/>
      </right>
      <top style="thin">
        <color rgb="FF30445F"/>
      </top>
      <bottom style="thin">
        <color rgb="FF30445F"/>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1" fillId="2" fontId="1" numFmtId="0" xfId="0" applyBorder="1" applyFill="1" applyFont="1"/>
    <xf borderId="2" fillId="0" fontId="2" numFmtId="0" xfId="0" applyBorder="1" applyFont="1"/>
    <xf borderId="3" fillId="0" fontId="2" numFmtId="0" xfId="0" applyBorder="1" applyFont="1"/>
    <xf borderId="1" fillId="2" fontId="3" numFmtId="0" xfId="0" applyBorder="1" applyFill="1" applyFont="1"/>
    <xf borderId="1" fillId="3" fontId="4" numFmtId="0" xfId="0" applyBorder="1" applyFill="1" applyFont="1"/>
    <xf borderId="0" fillId="0" fontId="5" numFmtId="0" xfId="0" applyAlignment="1" applyFont="1">
      <alignment shrinkToFit="0" vertical="center" wrapText="1"/>
    </xf>
    <xf borderId="4" fillId="0" fontId="6" numFmtId="0" xfId="0" applyBorder="1" applyFont="1"/>
    <xf borderId="0" fillId="0" fontId="7" numFmtId="0" xfId="0" applyAlignment="1" applyFont="1">
      <alignment shrinkToFit="0" vertical="top" wrapText="1"/>
    </xf>
    <xf borderId="4" fillId="0" fontId="8" numFmtId="0" xfId="0" applyBorder="1" applyFont="1"/>
    <xf borderId="5" fillId="2" fontId="9" numFmtId="0" xfId="0" applyAlignment="1" applyBorder="1" applyFill="1" applyFont="1">
      <alignment shrinkToFit="0" wrapText="1"/>
    </xf>
    <xf borderId="6" fillId="0" fontId="10" numFmtId="0" xfId="0" applyBorder="1" applyFont="1"/>
    <xf borderId="1" fillId="4" fontId="4" numFmtId="0" xfId="0" applyBorder="1" applyFill="1" applyFont="1"/>
    <xf borderId="7" fillId="0" fontId="2" numFmtId="0" xfId="0" applyBorder="1" applyFont="1"/>
    <xf borderId="8" fillId="0" fontId="2" numFmtId="0" xfId="0" applyBorder="1" applyFont="1"/>
    <xf borderId="0" fillId="0" fontId="11" numFmtId="0" xfId="0" applyFont="1"/>
    <xf borderId="4" fillId="0" fontId="12" numFmtId="0" xfId="0" applyBorder="1" applyFont="1"/>
    <xf borderId="0" fillId="0" fontId="10" numFmtId="0" xfId="0" applyAlignment="1" applyFont="1">
      <alignment shrinkToFit="0" wrapText="1"/>
    </xf>
    <xf borderId="4" fillId="0" fontId="10" numFmtId="0" xfId="0" applyBorder="1" applyFont="1"/>
    <xf borderId="4" fillId="0" fontId="13" numFmtId="0" xfId="0" applyBorder="1" applyFont="1"/>
    <xf borderId="4" fillId="0" fontId="10" numFmtId="164" xfId="0" applyBorder="1" applyFont="1" applyNumberFormat="1"/>
    <xf borderId="4" fillId="0" fontId="14" numFmtId="0" xfId="0" applyBorder="1" applyFont="1"/>
    <xf borderId="6" fillId="0" fontId="10" numFmtId="0" xfId="0" applyAlignment="1" applyBorder="1" applyFont="1">
      <alignment readingOrder="0"/>
    </xf>
    <xf borderId="0" fillId="0" fontId="11" numFmtId="164" xfId="0" applyFont="1" applyNumberFormat="1"/>
    <xf borderId="0" fillId="0" fontId="15" numFmtId="0" xfId="0" applyFont="1"/>
    <xf borderId="0" fillId="0" fontId="7" numFmtId="0" xfId="0" applyAlignment="1" applyFont="1">
      <alignment shrinkToFit="0" vertical="center" wrapText="1"/>
    </xf>
    <xf borderId="5" fillId="2" fontId="9" numFmtId="0" xfId="0" applyBorder="1" applyFill="1" applyFont="1"/>
    <xf borderId="4" fillId="0" fontId="10" numFmtId="0" xfId="0" applyAlignment="1" applyBorder="1" applyFont="1">
      <alignment shrinkToFit="0" wrapText="1"/>
    </xf>
    <xf borderId="5" fillId="3" fontId="9" numFmtId="0" xfId="0" applyBorder="1" applyFill="1" applyFont="1"/>
    <xf borderId="5" fillId="4" fontId="9" numFmtId="0" xfId="0" applyBorder="1" applyFill="1" applyFont="1"/>
    <xf borderId="5" fillId="5" fontId="9" numFmtId="0" xfId="0" applyBorder="1" applyFill="1" applyFont="1"/>
    <xf borderId="5" fillId="6" fontId="9" numFmtId="0" xfId="0" applyBorder="1" applyFill="1" applyFont="1"/>
    <xf borderId="5" fillId="7" fontId="9" numFmtId="0" xfId="0" applyBorder="1" applyFill="1" applyFont="1"/>
    <xf borderId="0" fillId="0" fontId="8" numFmtId="0" xfId="0" applyFont="1"/>
    <xf borderId="1" fillId="6" fontId="4" numFmtId="0" xfId="0" applyBorder="1" applyFill="1" applyFont="1"/>
    <xf borderId="0" fillId="0" fontId="11" numFmtId="0" xfId="0" applyFont="1"/>
    <xf borderId="0" fillId="0" fontId="10" numFmtId="0" xfId="0" applyFont="1"/>
    <xf borderId="0" fillId="0" fontId="16" numFmtId="0" xfId="0" applyFont="1"/>
    <xf borderId="0" fillId="0" fontId="17" numFmtId="0" xfId="0" applyAlignment="1" applyFont="1">
      <alignment shrinkToFit="0" vertical="center" wrapText="1"/>
    </xf>
    <xf borderId="4" fillId="0" fontId="10" numFmtId="164" xfId="0" applyAlignment="1" applyBorder="1" applyFont="1" applyNumberFormat="1">
      <alignment vertical="bottom"/>
    </xf>
    <xf borderId="0" fillId="0" fontId="18" numFmtId="0" xfId="0" applyFont="1"/>
    <xf borderId="0" fillId="0" fontId="4" numFmtId="0" xfId="0" applyFont="1"/>
    <xf borderId="0" fillId="0" fontId="9" numFmtId="0" xfId="0" applyFont="1"/>
    <xf borderId="0" fillId="0" fontId="9" numFmtId="0" xfId="0" applyAlignment="1" applyFont="1">
      <alignment shrinkToFit="0" wrapText="1"/>
    </xf>
    <xf borderId="0" fillId="0" fontId="10"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 vs. </a:t>
            </a:r>
          </a:p>
        </c:rich>
      </c:tx>
      <c:overlay val="0"/>
    </c:title>
    <c:plotArea>
      <c:layout/>
      <c:lineChart>
        <c:varyColors val="0"/>
        <c:ser>
          <c:idx val="0"/>
          <c:order val="0"/>
          <c:spPr>
            <a:ln cmpd="sng">
              <a:solidFill>
                <a:srgbClr val="4F81BD"/>
              </a:solidFill>
            </a:ln>
          </c:spPr>
          <c:marker>
            <c:symbol val="none"/>
          </c:marker>
          <c:cat>
            <c:strRef>
              <c:f>EXAMPLE!$A$6:$A$9</c:f>
            </c:strRef>
          </c:cat>
          <c:val>
            <c:numRef>
              <c:f>EXAMPLE!$B$6:$B$9</c:f>
              <c:numCache/>
            </c:numRef>
          </c:val>
          <c:smooth val="0"/>
        </c:ser>
        <c:axId val="320057890"/>
        <c:axId val="1927662311"/>
      </c:lineChart>
      <c:catAx>
        <c:axId val="32005789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27662311"/>
      </c:catAx>
      <c:valAx>
        <c:axId val="19276623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20057890"/>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16</xdr:row>
      <xdr:rowOff>180975</xdr:rowOff>
    </xdr:from>
    <xdr:ext cx="6067425" cy="2038350"/>
    <xdr:graphicFrame>
      <xdr:nvGraphicFramePr>
        <xdr:cNvPr id="1" name="Chart 1" title=" vs. "/>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8.0"/>
    <col customWidth="1" min="2" max="2" width="22.0"/>
    <col customWidth="1" min="3" max="5" width="18.0"/>
    <col customWidth="1" min="6" max="6" width="22.0"/>
    <col customWidth="1" min="7" max="8" width="24.0"/>
    <col customWidth="1" min="9" max="26" width="8.71"/>
  </cols>
  <sheetData>
    <row r="1" ht="33.75" customHeight="1">
      <c r="A1" s="1" t="s">
        <v>0</v>
      </c>
      <c r="B1" s="2"/>
      <c r="C1" s="2"/>
      <c r="D1" s="2"/>
      <c r="E1" s="2"/>
      <c r="F1" s="2"/>
      <c r="G1" s="2"/>
      <c r="H1" s="3"/>
    </row>
    <row r="2" ht="24.0" customHeight="1">
      <c r="A2" s="4" t="s">
        <v>3</v>
      </c>
      <c r="B2" s="2"/>
      <c r="C2" s="2"/>
      <c r="D2" s="2"/>
      <c r="E2" s="2"/>
      <c r="F2" s="2"/>
      <c r="G2" s="2"/>
      <c r="H2" s="3"/>
    </row>
    <row r="3" ht="14.25" customHeight="1"/>
    <row r="4" ht="15.75" customHeight="1">
      <c r="A4" s="5" t="s">
        <v>6</v>
      </c>
      <c r="B4" s="2"/>
      <c r="C4" s="2"/>
      <c r="D4" s="2"/>
      <c r="E4" s="2"/>
      <c r="F4" s="2"/>
      <c r="G4" s="2"/>
      <c r="H4" s="3"/>
    </row>
    <row r="5" ht="15.0" customHeight="1">
      <c r="A5" s="6" t="s">
        <v>8</v>
      </c>
    </row>
    <row r="6" ht="15.0" customHeight="1"/>
    <row r="7" ht="14.25" customHeight="1"/>
    <row r="8" ht="17.25" customHeight="1">
      <c r="A8" s="7" t="s">
        <v>10</v>
      </c>
      <c r="B8" s="9" t="s">
        <v>12</v>
      </c>
      <c r="C8" s="11" t="s">
        <v>13</v>
      </c>
      <c r="D8" s="13"/>
      <c r="E8" s="13"/>
      <c r="F8" s="13"/>
      <c r="G8" s="13"/>
      <c r="H8" s="14"/>
    </row>
    <row r="9" ht="17.25" customHeight="1">
      <c r="A9" s="16" t="s">
        <v>25</v>
      </c>
      <c r="B9" s="9" t="s">
        <v>27</v>
      </c>
      <c r="C9" s="11" t="s">
        <v>29</v>
      </c>
      <c r="D9" s="13"/>
      <c r="E9" s="13"/>
      <c r="F9" s="13"/>
      <c r="G9" s="13"/>
      <c r="H9" s="14"/>
    </row>
    <row r="10" ht="17.25" customHeight="1">
      <c r="A10" s="19" t="s">
        <v>36</v>
      </c>
      <c r="B10" s="9" t="s">
        <v>39</v>
      </c>
      <c r="C10" s="11" t="s">
        <v>40</v>
      </c>
      <c r="D10" s="13"/>
      <c r="E10" s="13"/>
      <c r="F10" s="13"/>
      <c r="G10" s="13"/>
      <c r="H10" s="14"/>
    </row>
    <row r="11" ht="17.25" customHeight="1">
      <c r="A11" s="21" t="s">
        <v>42</v>
      </c>
      <c r="B11" s="9" t="s">
        <v>43</v>
      </c>
      <c r="C11" s="11" t="s">
        <v>44</v>
      </c>
      <c r="D11" s="13"/>
      <c r="E11" s="13"/>
      <c r="F11" s="13"/>
      <c r="G11" s="13"/>
      <c r="H11" s="14"/>
    </row>
    <row r="12" ht="14.25" customHeight="1"/>
    <row r="13" ht="14.25" customHeight="1"/>
    <row r="14" ht="15.75" customHeight="1">
      <c r="A14" s="5" t="s">
        <v>46</v>
      </c>
      <c r="B14" s="2"/>
      <c r="C14" s="2"/>
      <c r="D14" s="2"/>
      <c r="E14" s="2"/>
      <c r="F14" s="2"/>
      <c r="G14" s="2"/>
      <c r="H14" s="3"/>
    </row>
    <row r="15" ht="19.5" customHeight="1">
      <c r="A15" s="24" t="s">
        <v>49</v>
      </c>
    </row>
    <row r="16" ht="15.0" customHeight="1">
      <c r="A16" s="25" t="s">
        <v>50</v>
      </c>
    </row>
    <row r="17" ht="15.0" customHeight="1"/>
    <row r="18" ht="14.25" customHeight="1"/>
    <row r="19" ht="15.75" customHeight="1">
      <c r="A19" s="12" t="s">
        <v>51</v>
      </c>
      <c r="B19" s="2"/>
      <c r="C19" s="2"/>
      <c r="D19" s="2"/>
      <c r="E19" s="2"/>
      <c r="F19" s="2"/>
      <c r="G19" s="2"/>
      <c r="H19" s="3"/>
    </row>
    <row r="20" ht="15.0" customHeight="1">
      <c r="A20" s="26" t="s">
        <v>53</v>
      </c>
      <c r="B20" s="26" t="s">
        <v>54</v>
      </c>
      <c r="C20" s="26" t="s">
        <v>55</v>
      </c>
    </row>
    <row r="21" ht="27.75" customHeight="1">
      <c r="A21" s="27" t="s">
        <v>20</v>
      </c>
      <c r="B21" s="27" t="s">
        <v>56</v>
      </c>
      <c r="C21" s="27" t="s">
        <v>57</v>
      </c>
    </row>
    <row r="22" ht="27.75" customHeight="1">
      <c r="A22" s="27" t="s">
        <v>21</v>
      </c>
      <c r="B22" s="27" t="s">
        <v>58</v>
      </c>
      <c r="C22" s="27" t="s">
        <v>59</v>
      </c>
    </row>
    <row r="23" ht="27.75" customHeight="1">
      <c r="A23" s="27" t="s">
        <v>22</v>
      </c>
      <c r="B23" s="27" t="s">
        <v>60</v>
      </c>
      <c r="C23" s="27" t="s">
        <v>61</v>
      </c>
    </row>
    <row r="24" ht="41.25" customHeight="1">
      <c r="A24" s="27" t="s">
        <v>24</v>
      </c>
      <c r="B24" s="27" t="s">
        <v>63</v>
      </c>
      <c r="C24" s="27" t="s">
        <v>64</v>
      </c>
    </row>
    <row r="25" ht="14.25" customHeight="1"/>
    <row r="26" ht="14.25" customHeight="1"/>
    <row r="27" ht="15.75" customHeight="1">
      <c r="A27" s="5" t="s">
        <v>65</v>
      </c>
      <c r="B27" s="2"/>
      <c r="C27" s="2"/>
      <c r="D27" s="2"/>
      <c r="E27" s="2"/>
      <c r="F27" s="2"/>
      <c r="G27" s="2"/>
      <c r="H27" s="3"/>
    </row>
    <row r="28" ht="15.0" customHeight="1">
      <c r="A28" s="15" t="s">
        <v>66</v>
      </c>
      <c r="B28" s="17" t="s">
        <v>67</v>
      </c>
    </row>
    <row r="29" ht="15.0" customHeight="1">
      <c r="A29" s="15" t="s">
        <v>66</v>
      </c>
      <c r="B29" s="17" t="s">
        <v>69</v>
      </c>
    </row>
    <row r="30" ht="15.0" customHeight="1">
      <c r="A30" s="15" t="s">
        <v>66</v>
      </c>
      <c r="B30" s="17" t="s">
        <v>70</v>
      </c>
    </row>
    <row r="31" ht="15.0" customHeight="1">
      <c r="A31" s="15" t="s">
        <v>66</v>
      </c>
      <c r="B31" s="17" t="s">
        <v>71</v>
      </c>
    </row>
    <row r="32" ht="15.0" customHeight="1">
      <c r="A32" s="15" t="s">
        <v>66</v>
      </c>
      <c r="B32" s="17" t="s">
        <v>72</v>
      </c>
    </row>
    <row r="33" ht="15.0" customHeight="1">
      <c r="A33" s="15" t="s">
        <v>66</v>
      </c>
      <c r="B33" s="17" t="s">
        <v>73</v>
      </c>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8">
    <mergeCell ref="A1:H1"/>
    <mergeCell ref="A2:H2"/>
    <mergeCell ref="A4:H4"/>
    <mergeCell ref="A5:H6"/>
    <mergeCell ref="C8:H8"/>
    <mergeCell ref="C9:H9"/>
    <mergeCell ref="C10:H10"/>
    <mergeCell ref="B30:H30"/>
    <mergeCell ref="B31:H31"/>
    <mergeCell ref="B32:H32"/>
    <mergeCell ref="B33:H33"/>
    <mergeCell ref="C11:H11"/>
    <mergeCell ref="A14:H14"/>
    <mergeCell ref="A16:H17"/>
    <mergeCell ref="A19:H19"/>
    <mergeCell ref="A27:H27"/>
    <mergeCell ref="B28:H28"/>
    <mergeCell ref="B29:H29"/>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21.0"/>
    <col customWidth="1" min="2" max="9" width="17.0"/>
    <col customWidth="1" min="10" max="26" width="8.71"/>
  </cols>
  <sheetData>
    <row r="1" ht="33.75" customHeight="1">
      <c r="A1" s="1" t="s">
        <v>112</v>
      </c>
      <c r="B1" s="2"/>
      <c r="C1" s="2"/>
      <c r="D1" s="2"/>
      <c r="E1" s="2"/>
      <c r="F1" s="2"/>
      <c r="G1" s="2"/>
      <c r="H1" s="3"/>
    </row>
    <row r="2" ht="24.0" customHeight="1">
      <c r="A2" s="4" t="s">
        <v>4</v>
      </c>
      <c r="B2" s="2"/>
      <c r="C2" s="2"/>
      <c r="D2" s="2"/>
      <c r="E2" s="2"/>
      <c r="F2" s="2"/>
      <c r="G2" s="2"/>
      <c r="H2" s="3"/>
    </row>
    <row r="3" ht="14.25" customHeight="1"/>
    <row r="4" ht="15.75" customHeight="1">
      <c r="A4" s="5" t="s">
        <v>9</v>
      </c>
      <c r="B4" s="2"/>
      <c r="C4" s="2"/>
      <c r="D4" s="2"/>
      <c r="E4" s="2"/>
      <c r="F4" s="2"/>
      <c r="G4" s="2"/>
      <c r="H4" s="3"/>
    </row>
    <row r="5" ht="15.0" customHeight="1">
      <c r="A5" s="10" t="s">
        <v>14</v>
      </c>
      <c r="B5" s="10" t="s">
        <v>16</v>
      </c>
      <c r="C5" s="10" t="s">
        <v>17</v>
      </c>
      <c r="D5" s="10" t="s">
        <v>18</v>
      </c>
      <c r="E5" s="10" t="s">
        <v>19</v>
      </c>
      <c r="F5" s="10" t="s">
        <v>20</v>
      </c>
      <c r="G5" s="10" t="s">
        <v>21</v>
      </c>
      <c r="H5" s="10" t="s">
        <v>22</v>
      </c>
      <c r="I5" s="10" t="s">
        <v>24</v>
      </c>
    </row>
    <row r="6" ht="15.0" customHeight="1">
      <c r="A6" s="18" t="s">
        <v>28</v>
      </c>
      <c r="B6" s="18">
        <v>6100.0</v>
      </c>
      <c r="C6" s="18">
        <v>2020.0</v>
      </c>
      <c r="D6" s="18">
        <v>250.0</v>
      </c>
      <c r="E6" s="18">
        <v>1100.0</v>
      </c>
      <c r="F6" s="20"/>
      <c r="G6" s="23">
        <f t="shared" ref="G6:G9" si="1">(B6-C6)/B6</f>
        <v>0.668852459</v>
      </c>
      <c r="H6" s="20">
        <f t="shared" ref="H6:H9" si="2">(D6/B6)</f>
        <v>0.04098360656</v>
      </c>
      <c r="I6" s="20">
        <f t="shared" ref="I6:I9" si="3">(E6/B6)</f>
        <v>0.1803278689</v>
      </c>
    </row>
    <row r="7" ht="15.0" customHeight="1">
      <c r="A7" s="18" t="s">
        <v>52</v>
      </c>
      <c r="B7" s="18">
        <v>5950.0</v>
      </c>
      <c r="C7" s="18">
        <v>2300.0</v>
      </c>
      <c r="D7" s="18">
        <v>280.0</v>
      </c>
      <c r="E7" s="18">
        <v>2020.0</v>
      </c>
      <c r="F7" s="39">
        <f t="shared" ref="F7:F9" si="4">(B7-B6)/B6</f>
        <v>-0.02459016393</v>
      </c>
      <c r="G7" s="20">
        <f t="shared" si="1"/>
        <v>0.6134453782</v>
      </c>
      <c r="H7" s="20">
        <f t="shared" si="2"/>
        <v>0.04705882353</v>
      </c>
      <c r="I7" s="20">
        <f t="shared" si="3"/>
        <v>0.3394957983</v>
      </c>
    </row>
    <row r="8" ht="15.0" customHeight="1">
      <c r="A8" s="18" t="s">
        <v>62</v>
      </c>
      <c r="B8" s="18">
        <v>4680.0</v>
      </c>
      <c r="C8" s="18">
        <v>1920.0</v>
      </c>
      <c r="D8" s="18">
        <v>190.0</v>
      </c>
      <c r="E8" s="18">
        <v>1950.0</v>
      </c>
      <c r="F8" s="39">
        <f t="shared" si="4"/>
        <v>-0.2134453782</v>
      </c>
      <c r="G8" s="20">
        <f t="shared" si="1"/>
        <v>0.5897435897</v>
      </c>
      <c r="H8" s="20">
        <f t="shared" si="2"/>
        <v>0.0405982906</v>
      </c>
      <c r="I8" s="20">
        <f t="shared" si="3"/>
        <v>0.4166666667</v>
      </c>
    </row>
    <row r="9" ht="15.0" customHeight="1">
      <c r="A9" s="18" t="s">
        <v>68</v>
      </c>
      <c r="B9" s="18">
        <v>4720.0</v>
      </c>
      <c r="C9" s="18">
        <v>1990.0</v>
      </c>
      <c r="D9" s="18">
        <v>175.0</v>
      </c>
      <c r="E9" s="18">
        <v>1980.0</v>
      </c>
      <c r="F9" s="39">
        <f t="shared" si="4"/>
        <v>0.008547008547</v>
      </c>
      <c r="G9" s="20">
        <f t="shared" si="1"/>
        <v>0.5783898305</v>
      </c>
      <c r="H9" s="20">
        <f t="shared" si="2"/>
        <v>0.03707627119</v>
      </c>
      <c r="I9" s="20">
        <f t="shared" si="3"/>
        <v>0.4194915254</v>
      </c>
    </row>
    <row r="10" ht="14.25" customHeight="1"/>
    <row r="11" ht="14.25" customHeight="1">
      <c r="A11" s="40" t="s">
        <v>113</v>
      </c>
    </row>
    <row r="12" ht="15.75" customHeight="1">
      <c r="A12" s="41"/>
    </row>
    <row r="13" ht="33.75" customHeight="1">
      <c r="A13" s="42"/>
      <c r="B13" s="36"/>
    </row>
    <row r="14" ht="33.75" customHeight="1">
      <c r="A14" s="42"/>
      <c r="B14" s="36"/>
    </row>
    <row r="15" ht="33.75" customHeight="1">
      <c r="A15" s="42"/>
      <c r="B15" s="36"/>
    </row>
    <row r="16" ht="33.75" customHeight="1">
      <c r="A16" s="42"/>
      <c r="B16" s="36"/>
    </row>
    <row r="17" ht="33.75" customHeight="1">
      <c r="A17" s="42"/>
      <c r="B17" s="36"/>
    </row>
    <row r="18" ht="14.25" customHeight="1"/>
    <row r="19" ht="14.25" customHeight="1"/>
    <row r="20" ht="15.75" customHeight="1">
      <c r="A20" s="41"/>
    </row>
    <row r="21" ht="33.75" customHeight="1">
      <c r="A21" s="33"/>
      <c r="B21" s="36"/>
    </row>
    <row r="22" ht="33.75" customHeight="1">
      <c r="A22" s="33"/>
      <c r="B22" s="36"/>
    </row>
    <row r="23" ht="14.25" customHeight="1"/>
    <row r="24" ht="15.75" customHeight="1">
      <c r="A24" s="41"/>
    </row>
    <row r="25" ht="27.75" customHeight="1">
      <c r="A25" s="43"/>
      <c r="B25" s="43"/>
      <c r="C25" s="43"/>
      <c r="D25" s="43"/>
      <c r="E25" s="43"/>
    </row>
    <row r="26" ht="15.0" customHeight="1">
      <c r="A26" s="15"/>
      <c r="E26" s="44"/>
    </row>
    <row r="27" ht="15.0" customHeight="1"/>
    <row r="28" ht="15.0" customHeight="1"/>
    <row r="29" ht="15.0" customHeight="1"/>
    <row r="30" ht="15.0" customHeight="1"/>
    <row r="31" ht="15.0" customHeight="1"/>
    <row r="32" ht="14.25" customHeight="1"/>
    <row r="33" ht="14.25" customHeight="1"/>
    <row r="34" ht="15.75" customHeight="1">
      <c r="A34" s="41"/>
    </row>
    <row r="35" ht="33.75" customHeight="1">
      <c r="A35" s="33"/>
      <c r="B35" s="36"/>
    </row>
    <row r="36" ht="33.75" customHeight="1">
      <c r="A36" s="33"/>
      <c r="B36" s="36"/>
    </row>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7">
    <mergeCell ref="A1:H1"/>
    <mergeCell ref="A2:H2"/>
    <mergeCell ref="A4:H4"/>
    <mergeCell ref="A12:H12"/>
    <mergeCell ref="B13:I13"/>
    <mergeCell ref="B14:I14"/>
    <mergeCell ref="B15:I15"/>
    <mergeCell ref="A34:H34"/>
    <mergeCell ref="B35:I35"/>
    <mergeCell ref="B36:I36"/>
    <mergeCell ref="B16:I16"/>
    <mergeCell ref="B17:I17"/>
    <mergeCell ref="A20:H20"/>
    <mergeCell ref="B21:I21"/>
    <mergeCell ref="B22:I22"/>
    <mergeCell ref="A24:H24"/>
    <mergeCell ref="E26:I29"/>
  </mergeCells>
  <dataValidations>
    <dataValidation type="list" allowBlank="1" sqref="A26">
      <formula1>"COST SHOCK,RECESSION,EXPANSION"</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8.0"/>
    <col customWidth="1" min="2" max="2" width="22.0"/>
    <col customWidth="1" min="3" max="5" width="18.0"/>
    <col customWidth="1" min="6" max="6" width="22.0"/>
    <col customWidth="1" min="7" max="8" width="24.0"/>
    <col customWidth="1" min="9" max="26" width="8.71"/>
  </cols>
  <sheetData>
    <row r="1" ht="33.75" customHeight="1">
      <c r="A1" s="1" t="s">
        <v>1</v>
      </c>
      <c r="B1" s="2"/>
      <c r="C1" s="2"/>
      <c r="D1" s="2"/>
      <c r="E1" s="2"/>
      <c r="F1" s="2"/>
      <c r="G1" s="2"/>
      <c r="H1" s="3"/>
    </row>
    <row r="2" ht="24.0" customHeight="1">
      <c r="A2" s="4" t="s">
        <v>5</v>
      </c>
      <c r="B2" s="2"/>
      <c r="C2" s="2"/>
      <c r="D2" s="2"/>
      <c r="E2" s="2"/>
      <c r="F2" s="2"/>
      <c r="G2" s="2"/>
      <c r="H2" s="3"/>
    </row>
    <row r="3" ht="14.25" customHeight="1"/>
    <row r="4" ht="15.75" customHeight="1">
      <c r="A4" s="5" t="s">
        <v>7</v>
      </c>
      <c r="B4" s="2"/>
      <c r="C4" s="2"/>
      <c r="D4" s="2"/>
      <c r="E4" s="2"/>
      <c r="F4" s="2"/>
      <c r="G4" s="2"/>
      <c r="H4" s="3"/>
    </row>
    <row r="5" ht="15.0" customHeight="1">
      <c r="A5" s="8" t="s">
        <v>11</v>
      </c>
    </row>
    <row r="6" ht="15.0" customHeight="1"/>
    <row r="7" ht="15.0" customHeight="1"/>
    <row r="8" ht="15.0" customHeight="1"/>
    <row r="9" ht="15.0" customHeight="1"/>
    <row r="10" ht="15.0" customHeight="1"/>
    <row r="11" ht="14.25" customHeight="1"/>
    <row r="12" ht="15.75" customHeight="1">
      <c r="A12" s="12" t="s">
        <v>15</v>
      </c>
      <c r="B12" s="2"/>
      <c r="C12" s="2"/>
      <c r="D12" s="2"/>
      <c r="E12" s="2"/>
      <c r="F12" s="2"/>
      <c r="G12" s="2"/>
      <c r="H12" s="3"/>
    </row>
    <row r="13" ht="15.0" customHeight="1">
      <c r="A13" s="15" t="s">
        <v>23</v>
      </c>
      <c r="B13" s="17" t="s">
        <v>26</v>
      </c>
    </row>
    <row r="14" ht="15.0" customHeight="1">
      <c r="A14" s="15" t="s">
        <v>30</v>
      </c>
      <c r="B14" s="17" t="s">
        <v>31</v>
      </c>
    </row>
    <row r="15" ht="15.0" customHeight="1">
      <c r="A15" s="15" t="s">
        <v>32</v>
      </c>
      <c r="B15" s="17" t="s">
        <v>33</v>
      </c>
    </row>
    <row r="16" ht="15.0" customHeight="1">
      <c r="A16" s="15" t="s">
        <v>34</v>
      </c>
      <c r="B16" s="17" t="s">
        <v>35</v>
      </c>
    </row>
    <row r="17" ht="14.25" customHeight="1"/>
    <row r="18" ht="15.75" customHeight="1">
      <c r="A18" s="5" t="s">
        <v>37</v>
      </c>
      <c r="B18" s="2"/>
      <c r="C18" s="2"/>
      <c r="D18" s="2"/>
      <c r="E18" s="2"/>
      <c r="F18" s="2"/>
      <c r="G18" s="2"/>
      <c r="H18" s="3"/>
    </row>
    <row r="19" ht="27.75" customHeight="1">
      <c r="A19" s="22" t="s">
        <v>41</v>
      </c>
      <c r="B19" s="13"/>
      <c r="C19" s="13"/>
      <c r="D19" s="13"/>
      <c r="E19" s="13"/>
      <c r="F19" s="13"/>
      <c r="G19" s="13"/>
      <c r="H19" s="14"/>
    </row>
    <row r="20" ht="27.75" customHeight="1">
      <c r="A20" s="22" t="s">
        <v>45</v>
      </c>
      <c r="B20" s="13"/>
      <c r="C20" s="13"/>
      <c r="D20" s="13"/>
      <c r="E20" s="13"/>
      <c r="F20" s="13"/>
      <c r="G20" s="13"/>
      <c r="H20" s="14"/>
    </row>
    <row r="21" ht="27.75" customHeight="1">
      <c r="A21" s="22" t="s">
        <v>47</v>
      </c>
      <c r="B21" s="13"/>
      <c r="C21" s="13"/>
      <c r="D21" s="13"/>
      <c r="E21" s="13"/>
      <c r="F21" s="13"/>
      <c r="G21" s="13"/>
      <c r="H21" s="14"/>
    </row>
    <row r="22" ht="27.75" customHeight="1">
      <c r="A22" s="22" t="s">
        <v>48</v>
      </c>
      <c r="B22" s="13"/>
      <c r="C22" s="13"/>
      <c r="D22" s="13"/>
      <c r="E22" s="13"/>
      <c r="F22" s="13"/>
      <c r="G22" s="13"/>
      <c r="H22" s="14"/>
    </row>
    <row r="23" ht="27.75" customHeight="1">
      <c r="A23" s="11"/>
      <c r="B23" s="13"/>
      <c r="C23" s="13"/>
      <c r="D23" s="13"/>
      <c r="E23" s="13"/>
      <c r="F23" s="13"/>
      <c r="G23" s="13"/>
      <c r="H23" s="14"/>
    </row>
    <row r="24" ht="27.75" customHeight="1">
      <c r="A24" s="11"/>
      <c r="B24" s="13"/>
      <c r="C24" s="13"/>
      <c r="D24" s="13"/>
      <c r="E24" s="13"/>
      <c r="F24" s="13"/>
      <c r="G24" s="13"/>
      <c r="H24" s="14"/>
    </row>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6">
    <mergeCell ref="A1:H1"/>
    <mergeCell ref="A2:H2"/>
    <mergeCell ref="A4:H4"/>
    <mergeCell ref="A5:H10"/>
    <mergeCell ref="A12:H12"/>
    <mergeCell ref="B13:H13"/>
    <mergeCell ref="B14:H14"/>
    <mergeCell ref="A23:H23"/>
    <mergeCell ref="A24:H24"/>
    <mergeCell ref="B15:H15"/>
    <mergeCell ref="B16:H16"/>
    <mergeCell ref="A18:H18"/>
    <mergeCell ref="A19:H19"/>
    <mergeCell ref="A20:H20"/>
    <mergeCell ref="A21:H21"/>
    <mergeCell ref="A22:H22"/>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21.0"/>
    <col customWidth="1" min="2" max="9" width="17.0"/>
    <col customWidth="1" min="10" max="26" width="8.71"/>
  </cols>
  <sheetData>
    <row r="1" ht="33.75" customHeight="1">
      <c r="A1" s="1" t="s">
        <v>2</v>
      </c>
      <c r="B1" s="2"/>
      <c r="C1" s="2"/>
      <c r="D1" s="2"/>
      <c r="E1" s="2"/>
      <c r="F1" s="2"/>
      <c r="G1" s="2"/>
      <c r="H1" s="3"/>
    </row>
    <row r="2" ht="24.0" customHeight="1">
      <c r="A2" s="4" t="s">
        <v>4</v>
      </c>
      <c r="B2" s="2"/>
      <c r="C2" s="2"/>
      <c r="D2" s="2"/>
      <c r="E2" s="2"/>
      <c r="F2" s="2"/>
      <c r="G2" s="2"/>
      <c r="H2" s="3"/>
    </row>
    <row r="3" ht="14.25" customHeight="1"/>
    <row r="4" ht="15.75" customHeight="1">
      <c r="A4" s="5" t="s">
        <v>9</v>
      </c>
      <c r="B4" s="2"/>
      <c r="C4" s="2"/>
      <c r="D4" s="2"/>
      <c r="E4" s="2"/>
      <c r="F4" s="2"/>
      <c r="G4" s="2"/>
      <c r="H4" s="3"/>
    </row>
    <row r="5" ht="15.0" customHeight="1">
      <c r="A5" s="10" t="s">
        <v>14</v>
      </c>
      <c r="B5" s="10" t="s">
        <v>16</v>
      </c>
      <c r="C5" s="10" t="s">
        <v>17</v>
      </c>
      <c r="D5" s="10" t="s">
        <v>18</v>
      </c>
      <c r="E5" s="10" t="s">
        <v>19</v>
      </c>
      <c r="F5" s="10" t="s">
        <v>20</v>
      </c>
      <c r="G5" s="10" t="s">
        <v>21</v>
      </c>
      <c r="H5" s="10" t="s">
        <v>22</v>
      </c>
      <c r="I5" s="10" t="s">
        <v>24</v>
      </c>
    </row>
    <row r="6" ht="15.0" customHeight="1">
      <c r="A6" s="18" t="s">
        <v>28</v>
      </c>
      <c r="B6" s="18">
        <v>5100.0</v>
      </c>
      <c r="C6" s="18">
        <v>3020.0</v>
      </c>
      <c r="D6" s="18">
        <v>340.0</v>
      </c>
      <c r="E6" s="18">
        <v>2100.0</v>
      </c>
      <c r="F6" s="20" t="s">
        <v>38</v>
      </c>
      <c r="G6" s="23">
        <f t="shared" ref="G6:G9" si="1">(B6-C6)/B6</f>
        <v>0.4078431373</v>
      </c>
      <c r="H6" s="23">
        <f t="shared" ref="H6:H9" si="2">D6/B6</f>
        <v>0.06666666667</v>
      </c>
      <c r="I6" s="23">
        <f t="shared" ref="I6:I9" si="3">E6/B6</f>
        <v>0.4117647059</v>
      </c>
    </row>
    <row r="7" ht="15.0" customHeight="1">
      <c r="A7" s="18" t="s">
        <v>52</v>
      </c>
      <c r="B7" s="18">
        <v>4950.0</v>
      </c>
      <c r="C7" s="18">
        <v>3000.0</v>
      </c>
      <c r="D7" s="18">
        <v>300.0</v>
      </c>
      <c r="E7" s="18">
        <v>2150.0</v>
      </c>
      <c r="F7" s="23">
        <f t="shared" ref="F7:F9" si="4">(B7-B6)/B6</f>
        <v>-0.02941176471</v>
      </c>
      <c r="G7" s="23">
        <f t="shared" si="1"/>
        <v>0.3939393939</v>
      </c>
      <c r="H7" s="23">
        <f t="shared" si="2"/>
        <v>0.06060606061</v>
      </c>
      <c r="I7" s="23">
        <f t="shared" si="3"/>
        <v>0.4343434343</v>
      </c>
    </row>
    <row r="8" ht="15.0" customHeight="1">
      <c r="A8" s="18" t="s">
        <v>62</v>
      </c>
      <c r="B8" s="18">
        <v>4680.0</v>
      </c>
      <c r="C8" s="18">
        <v>2910.0</v>
      </c>
      <c r="D8" s="18">
        <v>250.0</v>
      </c>
      <c r="E8" s="18">
        <v>2250.0</v>
      </c>
      <c r="F8" s="23">
        <f t="shared" si="4"/>
        <v>-0.05454545455</v>
      </c>
      <c r="G8" s="23">
        <f t="shared" si="1"/>
        <v>0.3782051282</v>
      </c>
      <c r="H8" s="23">
        <f t="shared" si="2"/>
        <v>0.05341880342</v>
      </c>
      <c r="I8" s="23">
        <f t="shared" si="3"/>
        <v>0.4807692308</v>
      </c>
    </row>
    <row r="9" ht="15.0" customHeight="1">
      <c r="A9" s="18" t="s">
        <v>68</v>
      </c>
      <c r="B9" s="18">
        <v>4820.0</v>
      </c>
      <c r="C9" s="18">
        <v>2980.0</v>
      </c>
      <c r="D9" s="18">
        <v>285.0</v>
      </c>
      <c r="E9" s="18">
        <v>2300.0</v>
      </c>
      <c r="F9" s="23">
        <f t="shared" si="4"/>
        <v>0.02991452991</v>
      </c>
      <c r="G9" s="23">
        <f t="shared" si="1"/>
        <v>0.3817427386</v>
      </c>
      <c r="H9" s="23">
        <f t="shared" si="2"/>
        <v>0.05912863071</v>
      </c>
      <c r="I9" s="23">
        <f t="shared" si="3"/>
        <v>0.4771784232</v>
      </c>
    </row>
    <row r="10" ht="14.25" customHeight="1"/>
    <row r="11" ht="14.25" customHeight="1"/>
    <row r="12" ht="15.75" customHeight="1">
      <c r="A12" s="5" t="s">
        <v>74</v>
      </c>
      <c r="B12" s="2"/>
      <c r="C12" s="2"/>
      <c r="D12" s="2"/>
      <c r="E12" s="2"/>
      <c r="F12" s="2"/>
      <c r="G12" s="2"/>
      <c r="H12" s="3"/>
    </row>
    <row r="13" ht="33.75" customHeight="1">
      <c r="A13" s="28" t="s">
        <v>75</v>
      </c>
      <c r="B13" s="22" t="s">
        <v>76</v>
      </c>
      <c r="C13" s="13"/>
      <c r="D13" s="13"/>
      <c r="E13" s="13"/>
      <c r="F13" s="13"/>
      <c r="G13" s="13"/>
      <c r="H13" s="13"/>
      <c r="I13" s="14"/>
    </row>
    <row r="14" ht="33.75" customHeight="1">
      <c r="A14" s="29" t="s">
        <v>77</v>
      </c>
      <c r="B14" s="22" t="s">
        <v>78</v>
      </c>
      <c r="C14" s="13"/>
      <c r="D14" s="13"/>
      <c r="E14" s="13"/>
      <c r="F14" s="13"/>
      <c r="G14" s="13"/>
      <c r="H14" s="13"/>
      <c r="I14" s="14"/>
    </row>
    <row r="15" ht="51.0" customHeight="1">
      <c r="A15" s="30" t="s">
        <v>79</v>
      </c>
      <c r="B15" s="22" t="s">
        <v>80</v>
      </c>
      <c r="C15" s="13"/>
      <c r="D15" s="13"/>
      <c r="E15" s="13"/>
      <c r="F15" s="13"/>
      <c r="G15" s="13"/>
      <c r="H15" s="13"/>
      <c r="I15" s="14"/>
    </row>
    <row r="16" ht="33.75" customHeight="1">
      <c r="A16" s="31" t="s">
        <v>81</v>
      </c>
      <c r="B16" s="22" t="s">
        <v>82</v>
      </c>
      <c r="C16" s="13"/>
      <c r="D16" s="13"/>
      <c r="E16" s="13"/>
      <c r="F16" s="13"/>
      <c r="G16" s="13"/>
      <c r="H16" s="13"/>
      <c r="I16" s="14"/>
    </row>
    <row r="17" ht="33.75" customHeight="1">
      <c r="A17" s="32" t="s">
        <v>83</v>
      </c>
      <c r="B17" s="22" t="s">
        <v>84</v>
      </c>
      <c r="C17" s="13"/>
      <c r="D17" s="13"/>
      <c r="E17" s="13"/>
      <c r="F17" s="13"/>
      <c r="G17" s="13"/>
      <c r="H17" s="13"/>
      <c r="I17" s="14"/>
    </row>
    <row r="18" ht="14.25" customHeight="1"/>
    <row r="19" ht="14.25" customHeight="1"/>
    <row r="20" ht="15.75" customHeight="1">
      <c r="A20" s="12" t="s">
        <v>85</v>
      </c>
      <c r="B20" s="2"/>
      <c r="C20" s="2"/>
      <c r="D20" s="2"/>
      <c r="E20" s="2"/>
      <c r="F20" s="2"/>
      <c r="G20" s="2"/>
      <c r="H20" s="3"/>
    </row>
    <row r="21" ht="33.75" customHeight="1">
      <c r="A21" s="33" t="s">
        <v>86</v>
      </c>
      <c r="B21" s="22" t="s">
        <v>87</v>
      </c>
      <c r="C21" s="13"/>
      <c r="D21" s="13"/>
      <c r="E21" s="13"/>
      <c r="F21" s="13"/>
      <c r="G21" s="13"/>
      <c r="H21" s="13"/>
      <c r="I21" s="14"/>
    </row>
    <row r="22" ht="33.75" customHeight="1">
      <c r="A22" s="33" t="s">
        <v>88</v>
      </c>
      <c r="B22" s="22" t="s">
        <v>89</v>
      </c>
      <c r="C22" s="13"/>
      <c r="D22" s="13"/>
      <c r="E22" s="13"/>
      <c r="F22" s="13"/>
      <c r="G22" s="13"/>
      <c r="H22" s="13"/>
      <c r="I22" s="14"/>
    </row>
    <row r="23" ht="14.25" customHeight="1"/>
    <row r="24" ht="15.75" customHeight="1">
      <c r="A24" s="34" t="s">
        <v>90</v>
      </c>
      <c r="B24" s="2"/>
      <c r="C24" s="2"/>
      <c r="D24" s="2"/>
      <c r="E24" s="2"/>
      <c r="F24" s="2"/>
      <c r="G24" s="2"/>
      <c r="H24" s="3"/>
    </row>
    <row r="25" ht="27.75" customHeight="1">
      <c r="A25" s="10" t="s">
        <v>91</v>
      </c>
      <c r="B25" s="10" t="s">
        <v>92</v>
      </c>
      <c r="C25" s="10" t="s">
        <v>93</v>
      </c>
      <c r="D25" s="10" t="s">
        <v>94</v>
      </c>
      <c r="E25" s="35"/>
    </row>
    <row r="26" ht="15.0" customHeight="1">
      <c r="A26" s="15" t="s">
        <v>95</v>
      </c>
      <c r="B26" s="15">
        <f t="shared" ref="B26:D26" si="5">B9</f>
        <v>4820</v>
      </c>
      <c r="C26" s="15">
        <f t="shared" si="5"/>
        <v>2980</v>
      </c>
      <c r="D26" s="15">
        <f t="shared" si="5"/>
        <v>285</v>
      </c>
      <c r="E26" s="35"/>
      <c r="F26" s="35"/>
      <c r="G26" s="35"/>
      <c r="H26" s="35"/>
      <c r="I26" s="35"/>
    </row>
    <row r="27" ht="15.0" customHeight="1">
      <c r="E27" s="35"/>
      <c r="F27" s="35"/>
      <c r="G27" s="35"/>
      <c r="H27" s="35"/>
      <c r="I27" s="35"/>
    </row>
    <row r="28" ht="15.0" customHeight="1">
      <c r="B28" s="15" t="s">
        <v>96</v>
      </c>
      <c r="E28" s="35"/>
      <c r="F28" s="35"/>
      <c r="G28" s="35"/>
      <c r="H28" s="35"/>
      <c r="I28" s="35"/>
    </row>
    <row r="29" ht="15.0" customHeight="1">
      <c r="B29" s="15" t="s">
        <v>97</v>
      </c>
      <c r="E29" s="35"/>
      <c r="F29" s="35"/>
      <c r="G29" s="35"/>
      <c r="H29" s="35"/>
      <c r="I29" s="35"/>
    </row>
    <row r="30" ht="15.0" customHeight="1">
      <c r="B30" s="15" t="s">
        <v>98</v>
      </c>
    </row>
    <row r="31" ht="15.0" customHeight="1">
      <c r="B31" s="15" t="s">
        <v>99</v>
      </c>
    </row>
    <row r="32" ht="14.25" customHeight="1"/>
    <row r="33" ht="14.25" customHeight="1"/>
    <row r="34" ht="15.75" customHeight="1">
      <c r="A34" s="35"/>
      <c r="B34" s="35"/>
      <c r="C34" s="35"/>
      <c r="D34" s="35"/>
      <c r="E34" s="35"/>
      <c r="F34" s="35"/>
      <c r="G34" s="35"/>
      <c r="H34" s="35"/>
    </row>
    <row r="35" ht="33.75" customHeight="1">
      <c r="A35" s="33"/>
      <c r="B35" s="36"/>
    </row>
    <row r="36" ht="33.75" customHeight="1">
      <c r="A36" s="33"/>
      <c r="B36" s="36"/>
    </row>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5">
    <mergeCell ref="A1:H1"/>
    <mergeCell ref="A2:H2"/>
    <mergeCell ref="A4:H4"/>
    <mergeCell ref="A12:H12"/>
    <mergeCell ref="B13:I13"/>
    <mergeCell ref="B14:I14"/>
    <mergeCell ref="B15:I15"/>
    <mergeCell ref="B35:I35"/>
    <mergeCell ref="B36:I36"/>
    <mergeCell ref="B16:I16"/>
    <mergeCell ref="B17:I17"/>
    <mergeCell ref="A20:H20"/>
    <mergeCell ref="B21:I21"/>
    <mergeCell ref="B22:I22"/>
    <mergeCell ref="A24:H24"/>
  </mergeCells>
  <dataValidations>
    <dataValidation type="list" allowBlank="1" sqref="A26">
      <formula1>"COST SHOCK,RECESSION,EXPANSION"</formula1>
    </dataValidation>
  </dataValidation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8.0"/>
    <col customWidth="1" min="2" max="2" width="22.0"/>
    <col customWidth="1" min="3" max="5" width="18.0"/>
    <col customWidth="1" min="6" max="6" width="22.0"/>
    <col customWidth="1" min="7" max="8" width="24.0"/>
    <col customWidth="1" min="9" max="26" width="8.71"/>
  </cols>
  <sheetData>
    <row r="1" ht="33.75" customHeight="1">
      <c r="A1" s="1" t="s">
        <v>100</v>
      </c>
      <c r="B1" s="2"/>
      <c r="C1" s="2"/>
      <c r="D1" s="2"/>
      <c r="E1" s="2"/>
      <c r="F1" s="2"/>
      <c r="G1" s="2"/>
      <c r="H1" s="3"/>
    </row>
    <row r="2" ht="24.0" customHeight="1">
      <c r="A2" s="4" t="s">
        <v>101</v>
      </c>
      <c r="B2" s="2"/>
      <c r="C2" s="2"/>
      <c r="D2" s="2"/>
      <c r="E2" s="2"/>
      <c r="F2" s="2"/>
      <c r="G2" s="2"/>
      <c r="H2" s="3"/>
    </row>
    <row r="3" ht="14.25" customHeight="1"/>
    <row r="4" ht="15.75" customHeight="1">
      <c r="A4" s="34" t="s">
        <v>102</v>
      </c>
      <c r="B4" s="2"/>
      <c r="C4" s="2"/>
      <c r="D4" s="2"/>
      <c r="E4" s="2"/>
      <c r="F4" s="2"/>
      <c r="G4" s="2"/>
      <c r="H4" s="3"/>
    </row>
    <row r="5" ht="21.75" customHeight="1">
      <c r="A5" s="37" t="s">
        <v>103</v>
      </c>
    </row>
    <row r="6" ht="15.0" customHeight="1">
      <c r="A6" s="38" t="s">
        <v>104</v>
      </c>
    </row>
    <row r="7" ht="15.0" customHeight="1"/>
    <row r="8" ht="15.0" customHeight="1"/>
    <row r="9" ht="15.0" customHeight="1">
      <c r="A9" s="36" t="s">
        <v>105</v>
      </c>
    </row>
    <row r="10" ht="14.25" customHeight="1"/>
    <row r="11" ht="15.75" customHeight="1">
      <c r="A11" s="12" t="s">
        <v>106</v>
      </c>
      <c r="B11" s="2"/>
      <c r="C11" s="2"/>
      <c r="D11" s="2"/>
      <c r="E11" s="2"/>
      <c r="F11" s="2"/>
      <c r="G11" s="2"/>
      <c r="H11" s="3"/>
    </row>
    <row r="12" ht="21.75" customHeight="1">
      <c r="A12" s="37" t="s">
        <v>107</v>
      </c>
    </row>
    <row r="13" ht="15.0" customHeight="1">
      <c r="A13" s="38" t="s">
        <v>108</v>
      </c>
    </row>
    <row r="14" ht="15.0" customHeight="1"/>
    <row r="15" ht="15.0" customHeight="1"/>
    <row r="16" ht="15.0" customHeight="1">
      <c r="A16" s="36" t="s">
        <v>105</v>
      </c>
    </row>
    <row r="17" ht="14.25" customHeight="1"/>
    <row r="18" ht="15.75" customHeight="1">
      <c r="A18" s="5" t="s">
        <v>109</v>
      </c>
      <c r="B18" s="2"/>
      <c r="C18" s="2"/>
      <c r="D18" s="2"/>
      <c r="E18" s="2"/>
      <c r="F18" s="2"/>
      <c r="G18" s="2"/>
      <c r="H18" s="3"/>
    </row>
    <row r="19" ht="21.75" customHeight="1">
      <c r="A19" s="37" t="s">
        <v>110</v>
      </c>
    </row>
    <row r="20" ht="15.0" customHeight="1">
      <c r="A20" s="38" t="s">
        <v>111</v>
      </c>
    </row>
    <row r="21" ht="15.0" customHeight="1"/>
    <row r="22" ht="15.0" customHeight="1"/>
    <row r="23" ht="15.0" customHeight="1">
      <c r="A23" s="36" t="s">
        <v>105</v>
      </c>
    </row>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1">
    <mergeCell ref="A16:H16"/>
    <mergeCell ref="A18:H18"/>
    <mergeCell ref="A20:H22"/>
    <mergeCell ref="A23:H23"/>
    <mergeCell ref="A1:H1"/>
    <mergeCell ref="A2:H2"/>
    <mergeCell ref="A4:H4"/>
    <mergeCell ref="A6:H8"/>
    <mergeCell ref="A9:H9"/>
    <mergeCell ref="A11:H11"/>
    <mergeCell ref="A13:H15"/>
  </mergeCells>
  <printOptions/>
  <pageMargins bottom="1.0" footer="0.0" header="0.0" left="0.75" right="0.75" top="1.0"/>
  <pageSetup paperSize="9" orientation="portrait"/>
  <drawing r:id="rId1"/>
</worksheet>
</file>